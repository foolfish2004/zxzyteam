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2期统计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rlito"/>
      <sz val="11"/>
    </font>
    <font>
      <name val="Arial"/>
      <color rgb="FF213448"/>
      <sz val="10"/>
    </font>
    <font>
      <name val="Arial"/>
      <b val="1"/>
      <color rgb="FF213448"/>
      <sz val="14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274C77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3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3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xSplit="2" ySplit="8" topLeftCell="C9" activePane="bottomRigh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2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5" customHeight="1">
      <c r="A2" s="3" t="inlineStr">
        <is>
          <t>不透水面数据概率递推统计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" customHeight="1">
      <c r="A3" s="2" t="inlineStr">
        <is>
          <t>历史来源和当期原始来源的1分别按概率保留，独立抽样后取并集；上一年处理后的二值结果用于下一年同半年递推。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5" customHeight="1">
      <c r="A4" s="2" t="inlineStr">
        <is>
          <t>2015年保留原值，上下半年分别递推；净变化＝当期－上一连续半年，净减少为正数；首期变化留空。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5" customHeight="1">
      <c r="A5" s="2" t="inlineStr">
        <is>
          <t>来源：原始22期TIFF逐像元模拟，PCG64种子20261010，32行分块。与此前16方案Excel一致；随机保留不等于精度验证。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5" customHeight="1">
      <c r="A6" s="2" t="inlineStr">
        <is>
          <t>像元面积km²</t>
        </is>
      </c>
      <c r="B6" s="14" t="n">
        <v>0.0009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44" customHeight="1">
      <c r="A8" s="8" t="inlineStr">
        <is>
          <t>期次</t>
        </is>
      </c>
      <c r="B8" s="8" t="inlineStr">
        <is>
          <t>半年</t>
        </is>
      </c>
      <c r="C8" s="8" t="inlineStr">
        <is>
          <t>原始为1
像元数</t>
        </is>
      </c>
      <c r="D8" s="8" t="inlineStr">
        <is>
          <t>抽样合并后
为1像元数</t>
        </is>
      </c>
      <c r="E8" s="8" t="inlineStr">
        <is>
          <t>相邻半年净变化
（像元）</t>
        </is>
      </c>
      <c r="F8" s="8" t="inlineStr">
        <is>
          <t>净增加
（像元）</t>
        </is>
      </c>
      <c r="G8" s="8" t="inlineStr">
        <is>
          <t>净减少
（像元，正值）</t>
        </is>
      </c>
      <c r="H8" s="8" t="inlineStr">
        <is>
          <t>抽样二值面积
（km²）</t>
        </is>
      </c>
      <c r="I8" s="8" t="inlineStr">
        <is>
          <t>净增加面积
（km²）</t>
        </is>
      </c>
      <c r="J8" s="8" t="inlineStr">
        <is>
          <t>净减少面积
（km²，正值）</t>
        </is>
      </c>
      <c r="K8" s="8" t="inlineStr">
        <is>
          <t>历史来源
实际保留像元数</t>
        </is>
      </c>
      <c r="L8" s="8" t="inlineStr">
        <is>
          <t>当期来源
实际保留像元数</t>
        </is>
      </c>
      <c r="M8" s="8" t="inlineStr">
        <is>
          <t>两来源同时
保留重叠像元数</t>
        </is>
      </c>
      <c r="N8" s="8" t="inlineStr">
        <is>
          <t>原始相邻半年
净变化（像元）</t>
        </is>
      </c>
    </row>
    <row r="9" ht="25" customHeight="1">
      <c r="A9" s="2" t="inlineStr">
        <is>
          <t>201501</t>
        </is>
      </c>
      <c r="B9" s="2" t="inlineStr">
        <is>
          <t>上半年</t>
        </is>
      </c>
      <c r="C9" s="15" t="n">
        <v>2156688</v>
      </c>
      <c r="D9" s="15">
        <f>K9+L9-M9</f>
        <v/>
      </c>
      <c r="E9" s="15" t="n"/>
      <c r="F9" s="15" t="n"/>
      <c r="G9" s="15" t="n"/>
      <c r="H9" s="16">
        <f>D9*$B$6</f>
        <v/>
      </c>
      <c r="I9" s="16" t="n"/>
      <c r="J9" s="16" t="n"/>
      <c r="K9" s="15" t="n">
        <v>0</v>
      </c>
      <c r="L9" s="15" t="n">
        <v>2156688</v>
      </c>
      <c r="M9" s="15" t="n">
        <v>0</v>
      </c>
      <c r="N9" s="15" t="n"/>
    </row>
    <row r="10" ht="25" customHeight="1">
      <c r="A10" s="11" t="inlineStr">
        <is>
          <t>201502</t>
        </is>
      </c>
      <c r="B10" s="11" t="inlineStr">
        <is>
          <t>下半年</t>
        </is>
      </c>
      <c r="C10" s="17" t="n">
        <v>2167358</v>
      </c>
      <c r="D10" s="17">
        <f>K10+L10-M10</f>
        <v/>
      </c>
      <c r="E10" s="17">
        <f>D10-D9</f>
        <v/>
      </c>
      <c r="F10" s="17">
        <f>MAX(E10,0)</f>
        <v/>
      </c>
      <c r="G10" s="17">
        <f>MAX(-E10,0)</f>
        <v/>
      </c>
      <c r="H10" s="18">
        <f>D10*$B$6</f>
        <v/>
      </c>
      <c r="I10" s="18">
        <f>F10*$B$6</f>
        <v/>
      </c>
      <c r="J10" s="18">
        <f>G10*$B$6</f>
        <v/>
      </c>
      <c r="K10" s="17" t="n">
        <v>0</v>
      </c>
      <c r="L10" s="17" t="n">
        <v>2167358</v>
      </c>
      <c r="M10" s="17" t="n">
        <v>0</v>
      </c>
      <c r="N10" s="17">
        <f>C10-C9</f>
        <v/>
      </c>
    </row>
    <row r="11" ht="25" customHeight="1">
      <c r="A11" s="2" t="inlineStr">
        <is>
          <t>201601</t>
        </is>
      </c>
      <c r="B11" s="2" t="inlineStr">
        <is>
          <t>上半年</t>
        </is>
      </c>
      <c r="C11" s="15" t="n">
        <v>2185355</v>
      </c>
      <c r="D11" s="15">
        <f>K11+L11-M11</f>
        <v/>
      </c>
      <c r="E11" s="15">
        <f>D11-D10</f>
        <v/>
      </c>
      <c r="F11" s="15">
        <f>MAX(E11,0)</f>
        <v/>
      </c>
      <c r="G11" s="15">
        <f>MAX(-E11,0)</f>
        <v/>
      </c>
      <c r="H11" s="16">
        <f>D11*$B$6</f>
        <v/>
      </c>
      <c r="I11" s="16">
        <f>F11*$B$6</f>
        <v/>
      </c>
      <c r="J11" s="16">
        <f>G11*$B$6</f>
        <v/>
      </c>
      <c r="K11" s="15" t="n">
        <v>1725488</v>
      </c>
      <c r="L11" s="15" t="n">
        <v>1748463</v>
      </c>
      <c r="M11" s="15" t="n">
        <v>1307103</v>
      </c>
      <c r="N11" s="15">
        <f>C11-C10</f>
        <v/>
      </c>
    </row>
    <row r="12" ht="25" customHeight="1">
      <c r="A12" s="11" t="inlineStr">
        <is>
          <t>201602</t>
        </is>
      </c>
      <c r="B12" s="11" t="inlineStr">
        <is>
          <t>下半年</t>
        </is>
      </c>
      <c r="C12" s="17" t="n">
        <v>2310448</v>
      </c>
      <c r="D12" s="17">
        <f>K12+L12-M12</f>
        <v/>
      </c>
      <c r="E12" s="17">
        <f>D12-D11</f>
        <v/>
      </c>
      <c r="F12" s="17">
        <f>MAX(E12,0)</f>
        <v/>
      </c>
      <c r="G12" s="17">
        <f>MAX(-E12,0)</f>
        <v/>
      </c>
      <c r="H12" s="18">
        <f>D12*$B$6</f>
        <v/>
      </c>
      <c r="I12" s="18">
        <f>F12*$B$6</f>
        <v/>
      </c>
      <c r="J12" s="18">
        <f>G12*$B$6</f>
        <v/>
      </c>
      <c r="K12" s="17" t="n">
        <v>1734094</v>
      </c>
      <c r="L12" s="17" t="n">
        <v>1848936</v>
      </c>
      <c r="M12" s="17" t="n">
        <v>1289069</v>
      </c>
      <c r="N12" s="17">
        <f>C12-C11</f>
        <v/>
      </c>
    </row>
    <row r="13" ht="25" customHeight="1">
      <c r="A13" s="2" t="inlineStr">
        <is>
          <t>201701</t>
        </is>
      </c>
      <c r="B13" s="2" t="inlineStr">
        <is>
          <t>上半年</t>
        </is>
      </c>
      <c r="C13" s="15" t="n">
        <v>2290910</v>
      </c>
      <c r="D13" s="15">
        <f>K13+L13-M13</f>
        <v/>
      </c>
      <c r="E13" s="15">
        <f>D13-D12</f>
        <v/>
      </c>
      <c r="F13" s="15">
        <f>MAX(E13,0)</f>
        <v/>
      </c>
      <c r="G13" s="15">
        <f>MAX(-E13,0)</f>
        <v/>
      </c>
      <c r="H13" s="16">
        <f>D13*$B$6</f>
        <v/>
      </c>
      <c r="I13" s="16">
        <f>F13*$B$6</f>
        <v/>
      </c>
      <c r="J13" s="16">
        <f>G13*$B$6</f>
        <v/>
      </c>
      <c r="K13" s="15" t="n">
        <v>1732757</v>
      </c>
      <c r="L13" s="15" t="n">
        <v>1833081</v>
      </c>
      <c r="M13" s="15" t="n">
        <v>1230708</v>
      </c>
      <c r="N13" s="15">
        <f>C13-C12</f>
        <v/>
      </c>
    </row>
    <row r="14" ht="25" customHeight="1">
      <c r="A14" s="11" t="inlineStr">
        <is>
          <t>201702</t>
        </is>
      </c>
      <c r="B14" s="11" t="inlineStr">
        <is>
          <t>下半年</t>
        </is>
      </c>
      <c r="C14" s="17" t="n">
        <v>2080144</v>
      </c>
      <c r="D14" s="17">
        <f>K14+L14-M14</f>
        <v/>
      </c>
      <c r="E14" s="17">
        <f>D14-D13</f>
        <v/>
      </c>
      <c r="F14" s="17">
        <f>MAX(E14,0)</f>
        <v/>
      </c>
      <c r="G14" s="17">
        <f>MAX(-E14,0)</f>
        <v/>
      </c>
      <c r="H14" s="18">
        <f>D14*$B$6</f>
        <v/>
      </c>
      <c r="I14" s="18">
        <f>F14*$B$6</f>
        <v/>
      </c>
      <c r="J14" s="18">
        <f>G14*$B$6</f>
        <v/>
      </c>
      <c r="K14" s="17" t="n">
        <v>1835346</v>
      </c>
      <c r="L14" s="17" t="n">
        <v>1664211</v>
      </c>
      <c r="M14" s="17" t="n">
        <v>1122923</v>
      </c>
      <c r="N14" s="17">
        <f>C14-C13</f>
        <v/>
      </c>
    </row>
    <row r="15" ht="25" customHeight="1">
      <c r="A15" s="2" t="inlineStr">
        <is>
          <t>201801</t>
        </is>
      </c>
      <c r="B15" s="2" t="inlineStr">
        <is>
          <t>上半年</t>
        </is>
      </c>
      <c r="C15" s="15" t="n">
        <v>2364685</v>
      </c>
      <c r="D15" s="15">
        <f>K15+L15-M15</f>
        <v/>
      </c>
      <c r="E15" s="15">
        <f>D15-D14</f>
        <v/>
      </c>
      <c r="F15" s="15">
        <f>MAX(E15,0)</f>
        <v/>
      </c>
      <c r="G15" s="15">
        <f>MAX(-E15,0)</f>
        <v/>
      </c>
      <c r="H15" s="16">
        <f>D15*$B$6</f>
        <v/>
      </c>
      <c r="I15" s="16">
        <f>F15*$B$6</f>
        <v/>
      </c>
      <c r="J15" s="16">
        <f>G15*$B$6</f>
        <v/>
      </c>
      <c r="K15" s="15" t="n">
        <v>1867857</v>
      </c>
      <c r="L15" s="15" t="n">
        <v>1892081</v>
      </c>
      <c r="M15" s="15" t="n">
        <v>1167726</v>
      </c>
      <c r="N15" s="15">
        <f>C15-C14</f>
        <v/>
      </c>
    </row>
    <row r="16" ht="25" customHeight="1">
      <c r="A16" s="11" t="inlineStr">
        <is>
          <t>201802</t>
        </is>
      </c>
      <c r="B16" s="11" t="inlineStr">
        <is>
          <t>下半年</t>
        </is>
      </c>
      <c r="C16" s="17" t="n">
        <v>2403608</v>
      </c>
      <c r="D16" s="17">
        <f>K16+L16-M16</f>
        <v/>
      </c>
      <c r="E16" s="17">
        <f>D16-D15</f>
        <v/>
      </c>
      <c r="F16" s="17">
        <f>MAX(E16,0)</f>
        <v/>
      </c>
      <c r="G16" s="17">
        <f>MAX(-E16,0)</f>
        <v/>
      </c>
      <c r="H16" s="18">
        <f>D16*$B$6</f>
        <v/>
      </c>
      <c r="I16" s="18">
        <f>F16*$B$6</f>
        <v/>
      </c>
      <c r="J16" s="18">
        <f>G16*$B$6</f>
        <v/>
      </c>
      <c r="K16" s="17" t="n">
        <v>1901224</v>
      </c>
      <c r="L16" s="17" t="n">
        <v>1922972</v>
      </c>
      <c r="M16" s="17" t="n">
        <v>1274142</v>
      </c>
      <c r="N16" s="17">
        <f>C16-C15</f>
        <v/>
      </c>
    </row>
    <row r="17" ht="25" customHeight="1">
      <c r="A17" s="2" t="inlineStr">
        <is>
          <t>201901</t>
        </is>
      </c>
      <c r="B17" s="2" t="inlineStr">
        <is>
          <t>上半年</t>
        </is>
      </c>
      <c r="C17" s="15" t="n">
        <v>2675994</v>
      </c>
      <c r="D17" s="15">
        <f>K17+L17-M17</f>
        <v/>
      </c>
      <c r="E17" s="15">
        <f>D17-D16</f>
        <v/>
      </c>
      <c r="F17" s="15">
        <f>MAX(E17,0)</f>
        <v/>
      </c>
      <c r="G17" s="15">
        <f>MAX(-E17,0)</f>
        <v/>
      </c>
      <c r="H17" s="16">
        <f>D17*$B$6</f>
        <v/>
      </c>
      <c r="I17" s="16">
        <f>F17*$B$6</f>
        <v/>
      </c>
      <c r="J17" s="16">
        <f>G17*$B$6</f>
        <v/>
      </c>
      <c r="K17" s="15" t="n">
        <v>2073776</v>
      </c>
      <c r="L17" s="15" t="n">
        <v>2141272</v>
      </c>
      <c r="M17" s="15" t="n">
        <v>1364861</v>
      </c>
      <c r="N17" s="15">
        <f>C17-C16</f>
        <v/>
      </c>
    </row>
    <row r="18" ht="25" customHeight="1">
      <c r="A18" s="11" t="inlineStr">
        <is>
          <t>201902</t>
        </is>
      </c>
      <c r="B18" s="11" t="inlineStr">
        <is>
          <t>下半年</t>
        </is>
      </c>
      <c r="C18" s="17" t="n">
        <v>2845126</v>
      </c>
      <c r="D18" s="17">
        <f>K18+L18-M18</f>
        <v/>
      </c>
      <c r="E18" s="17">
        <f>D18-D17</f>
        <v/>
      </c>
      <c r="F18" s="17">
        <f>MAX(E18,0)</f>
        <v/>
      </c>
      <c r="G18" s="17">
        <f>MAX(-E18,0)</f>
        <v/>
      </c>
      <c r="H18" s="18">
        <f>D18*$B$6</f>
        <v/>
      </c>
      <c r="I18" s="18">
        <f>F18*$B$6</f>
        <v/>
      </c>
      <c r="J18" s="18">
        <f>G18*$B$6</f>
        <v/>
      </c>
      <c r="K18" s="17" t="n">
        <v>2039944</v>
      </c>
      <c r="L18" s="17" t="n">
        <v>2275639</v>
      </c>
      <c r="M18" s="17" t="n">
        <v>1452182</v>
      </c>
      <c r="N18" s="17">
        <f>C18-C17</f>
        <v/>
      </c>
    </row>
    <row r="19" ht="25" customHeight="1">
      <c r="A19" s="2" t="inlineStr">
        <is>
          <t>202001</t>
        </is>
      </c>
      <c r="B19" s="2" t="inlineStr">
        <is>
          <t>上半年</t>
        </is>
      </c>
      <c r="C19" s="15" t="n">
        <v>2062356</v>
      </c>
      <c r="D19" s="15">
        <f>K19+L19-M19</f>
        <v/>
      </c>
      <c r="E19" s="15">
        <f>D19-D18</f>
        <v/>
      </c>
      <c r="F19" s="15">
        <f>MAX(E19,0)</f>
        <v/>
      </c>
      <c r="G19" s="15">
        <f>MAX(-E19,0)</f>
        <v/>
      </c>
      <c r="H19" s="16">
        <f>D19*$B$6</f>
        <v/>
      </c>
      <c r="I19" s="16">
        <f>F19*$B$6</f>
        <v/>
      </c>
      <c r="J19" s="16">
        <f>G19*$B$6</f>
        <v/>
      </c>
      <c r="K19" s="15" t="n">
        <v>2279399</v>
      </c>
      <c r="L19" s="15" t="n">
        <v>1650099</v>
      </c>
      <c r="M19" s="15" t="n">
        <v>1188148</v>
      </c>
      <c r="N19" s="15">
        <f>C19-C18</f>
        <v/>
      </c>
    </row>
    <row r="20" ht="25" customHeight="1">
      <c r="A20" s="11" t="inlineStr">
        <is>
          <t>202002</t>
        </is>
      </c>
      <c r="B20" s="11" t="inlineStr">
        <is>
          <t>下半年</t>
        </is>
      </c>
      <c r="C20" s="17" t="n">
        <v>2161612</v>
      </c>
      <c r="D20" s="17">
        <f>K20+L20-M20</f>
        <v/>
      </c>
      <c r="E20" s="17">
        <f>D20-D19</f>
        <v/>
      </c>
      <c r="F20" s="17">
        <f>MAX(E20,0)</f>
        <v/>
      </c>
      <c r="G20" s="17">
        <f>MAX(-E20,0)</f>
        <v/>
      </c>
      <c r="H20" s="18">
        <f>D20*$B$6</f>
        <v/>
      </c>
      <c r="I20" s="18">
        <f>F20*$B$6</f>
        <v/>
      </c>
      <c r="J20" s="18">
        <f>G20*$B$6</f>
        <v/>
      </c>
      <c r="K20" s="17" t="n">
        <v>2290230</v>
      </c>
      <c r="L20" s="17" t="n">
        <v>1729553</v>
      </c>
      <c r="M20" s="17" t="n">
        <v>1232255</v>
      </c>
      <c r="N20" s="17">
        <f>C20-C19</f>
        <v/>
      </c>
    </row>
    <row r="21" ht="25" customHeight="1">
      <c r="A21" s="2" t="inlineStr">
        <is>
          <t>202101</t>
        </is>
      </c>
      <c r="B21" s="2" t="inlineStr">
        <is>
          <t>上半年</t>
        </is>
      </c>
      <c r="C21" s="15" t="n">
        <v>2728342</v>
      </c>
      <c r="D21" s="15">
        <f>K21+L21-M21</f>
        <v/>
      </c>
      <c r="E21" s="15">
        <f>D21-D20</f>
        <v/>
      </c>
      <c r="F21" s="15">
        <f>MAX(E21,0)</f>
        <v/>
      </c>
      <c r="G21" s="15">
        <f>MAX(-E21,0)</f>
        <v/>
      </c>
      <c r="H21" s="16">
        <f>D21*$B$6</f>
        <v/>
      </c>
      <c r="I21" s="16">
        <f>F21*$B$6</f>
        <v/>
      </c>
      <c r="J21" s="16">
        <f>G21*$B$6</f>
        <v/>
      </c>
      <c r="K21" s="15" t="n">
        <v>2194064</v>
      </c>
      <c r="L21" s="15" t="n">
        <v>2182480</v>
      </c>
      <c r="M21" s="15" t="n">
        <v>1432876</v>
      </c>
      <c r="N21" s="15">
        <f>C21-C20</f>
        <v/>
      </c>
    </row>
    <row r="22" ht="25" customHeight="1">
      <c r="A22" s="11" t="inlineStr">
        <is>
          <t>202102</t>
        </is>
      </c>
      <c r="B22" s="11" t="inlineStr">
        <is>
          <t>下半年</t>
        </is>
      </c>
      <c r="C22" s="17" t="n">
        <v>3019612</v>
      </c>
      <c r="D22" s="17">
        <f>K22+L22-M22</f>
        <v/>
      </c>
      <c r="E22" s="17">
        <f>D22-D21</f>
        <v/>
      </c>
      <c r="F22" s="17">
        <f>MAX(E22,0)</f>
        <v/>
      </c>
      <c r="G22" s="17">
        <f>MAX(-E22,0)</f>
        <v/>
      </c>
      <c r="H22" s="18">
        <f>D22*$B$6</f>
        <v/>
      </c>
      <c r="I22" s="18">
        <f>F22*$B$6</f>
        <v/>
      </c>
      <c r="J22" s="18">
        <f>G22*$B$6</f>
        <v/>
      </c>
      <c r="K22" s="17" t="n">
        <v>2228797</v>
      </c>
      <c r="L22" s="17" t="n">
        <v>2415874</v>
      </c>
      <c r="M22" s="17" t="n">
        <v>1550699</v>
      </c>
      <c r="N22" s="17">
        <f>C22-C21</f>
        <v/>
      </c>
    </row>
    <row r="23" ht="25" customHeight="1">
      <c r="A23" s="2" t="inlineStr">
        <is>
          <t>202201</t>
        </is>
      </c>
      <c r="B23" s="2" t="inlineStr">
        <is>
          <t>上半年</t>
        </is>
      </c>
      <c r="C23" s="15" t="n">
        <v>2392420</v>
      </c>
      <c r="D23" s="15">
        <f>K23+L23-M23</f>
        <v/>
      </c>
      <c r="E23" s="15">
        <f>D23-D22</f>
        <v/>
      </c>
      <c r="F23" s="15">
        <f>MAX(E23,0)</f>
        <v/>
      </c>
      <c r="G23" s="15">
        <f>MAX(-E23,0)</f>
        <v/>
      </c>
      <c r="H23" s="16">
        <f>D23*$B$6</f>
        <v/>
      </c>
      <c r="I23" s="16">
        <f>F23*$B$6</f>
        <v/>
      </c>
      <c r="J23" s="16">
        <f>G23*$B$6</f>
        <v/>
      </c>
      <c r="K23" s="15" t="n">
        <v>2355789</v>
      </c>
      <c r="L23" s="15" t="n">
        <v>1913608</v>
      </c>
      <c r="M23" s="15" t="n">
        <v>1330060</v>
      </c>
      <c r="N23" s="15">
        <f>C23-C22</f>
        <v/>
      </c>
    </row>
    <row r="24" ht="25" customHeight="1">
      <c r="A24" s="11" t="inlineStr">
        <is>
          <t>202202</t>
        </is>
      </c>
      <c r="B24" s="11" t="inlineStr">
        <is>
          <t>下半年</t>
        </is>
      </c>
      <c r="C24" s="17" t="n">
        <v>3208607</v>
      </c>
      <c r="D24" s="17">
        <f>K24+L24-M24</f>
        <v/>
      </c>
      <c r="E24" s="17">
        <f>D24-D23</f>
        <v/>
      </c>
      <c r="F24" s="17">
        <f>MAX(E24,0)</f>
        <v/>
      </c>
      <c r="G24" s="17">
        <f>MAX(-E24,0)</f>
        <v/>
      </c>
      <c r="H24" s="18">
        <f>D24*$B$6</f>
        <v/>
      </c>
      <c r="I24" s="18">
        <f>F24*$B$6</f>
        <v/>
      </c>
      <c r="J24" s="18">
        <f>G24*$B$6</f>
        <v/>
      </c>
      <c r="K24" s="17" t="n">
        <v>2474893</v>
      </c>
      <c r="L24" s="17" t="n">
        <v>2565762</v>
      </c>
      <c r="M24" s="17" t="n">
        <v>1751524</v>
      </c>
      <c r="N24" s="17">
        <f>C24-C23</f>
        <v/>
      </c>
    </row>
    <row r="25" ht="25" customHeight="1">
      <c r="A25" s="2" t="inlineStr">
        <is>
          <t>202301</t>
        </is>
      </c>
      <c r="B25" s="2" t="inlineStr">
        <is>
          <t>上半年</t>
        </is>
      </c>
      <c r="C25" s="15" t="n">
        <v>2692963</v>
      </c>
      <c r="D25" s="15">
        <f>K25+L25-M25</f>
        <v/>
      </c>
      <c r="E25" s="15">
        <f>D25-D24</f>
        <v/>
      </c>
      <c r="F25" s="15">
        <f>MAX(E25,0)</f>
        <v/>
      </c>
      <c r="G25" s="15">
        <f>MAX(-E25,0)</f>
        <v/>
      </c>
      <c r="H25" s="16">
        <f>D25*$B$6</f>
        <v/>
      </c>
      <c r="I25" s="16">
        <f>F25*$B$6</f>
        <v/>
      </c>
      <c r="J25" s="16">
        <f>G25*$B$6</f>
        <v/>
      </c>
      <c r="K25" s="15" t="n">
        <v>2352312</v>
      </c>
      <c r="L25" s="15" t="n">
        <v>2154781</v>
      </c>
      <c r="M25" s="15" t="n">
        <v>1469823</v>
      </c>
      <c r="N25" s="15">
        <f>C25-C24</f>
        <v/>
      </c>
    </row>
    <row r="26" ht="25" customHeight="1">
      <c r="A26" s="11" t="inlineStr">
        <is>
          <t>202302</t>
        </is>
      </c>
      <c r="B26" s="11" t="inlineStr">
        <is>
          <t>下半年</t>
        </is>
      </c>
      <c r="C26" s="17" t="n">
        <v>3229427</v>
      </c>
      <c r="D26" s="17">
        <f>K26+L26-M26</f>
        <v/>
      </c>
      <c r="E26" s="17">
        <f>D26-D25</f>
        <v/>
      </c>
      <c r="F26" s="17">
        <f>MAX(E26,0)</f>
        <v/>
      </c>
      <c r="G26" s="17">
        <f>MAX(-E26,0)</f>
        <v/>
      </c>
      <c r="H26" s="18">
        <f>D26*$B$6</f>
        <v/>
      </c>
      <c r="I26" s="18">
        <f>F26*$B$6</f>
        <v/>
      </c>
      <c r="J26" s="18">
        <f>G26*$B$6</f>
        <v/>
      </c>
      <c r="K26" s="17" t="n">
        <v>2630958</v>
      </c>
      <c r="L26" s="17" t="n">
        <v>2582636</v>
      </c>
      <c r="M26" s="17" t="n">
        <v>1817862</v>
      </c>
      <c r="N26" s="17">
        <f>C26-C25</f>
        <v/>
      </c>
    </row>
    <row r="27" ht="25" customHeight="1">
      <c r="A27" s="2" t="inlineStr">
        <is>
          <t>202401</t>
        </is>
      </c>
      <c r="B27" s="2" t="inlineStr">
        <is>
          <t>上半年</t>
        </is>
      </c>
      <c r="C27" s="15" t="n">
        <v>2692310</v>
      </c>
      <c r="D27" s="15">
        <f>K27+L27-M27</f>
        <v/>
      </c>
      <c r="E27" s="15">
        <f>D27-D26</f>
        <v/>
      </c>
      <c r="F27" s="15">
        <f>MAX(E27,0)</f>
        <v/>
      </c>
      <c r="G27" s="15">
        <f>MAX(-E27,0)</f>
        <v/>
      </c>
      <c r="H27" s="16">
        <f>D27*$B$6</f>
        <v/>
      </c>
      <c r="I27" s="16">
        <f>F27*$B$6</f>
        <v/>
      </c>
      <c r="J27" s="16">
        <f>G27*$B$6</f>
        <v/>
      </c>
      <c r="K27" s="15" t="n">
        <v>2429375</v>
      </c>
      <c r="L27" s="15" t="n">
        <v>2153556</v>
      </c>
      <c r="M27" s="15" t="n">
        <v>1490137</v>
      </c>
      <c r="N27" s="15">
        <f>C27-C26</f>
        <v/>
      </c>
    </row>
    <row r="28" ht="25" customHeight="1">
      <c r="A28" s="11" t="inlineStr">
        <is>
          <t>202402</t>
        </is>
      </c>
      <c r="B28" s="11" t="inlineStr">
        <is>
          <t>下半年</t>
        </is>
      </c>
      <c r="C28" s="17" t="n">
        <v>3392037</v>
      </c>
      <c r="D28" s="17">
        <f>K28+L28-M28</f>
        <v/>
      </c>
      <c r="E28" s="17">
        <f>D28-D27</f>
        <v/>
      </c>
      <c r="F28" s="17">
        <f>MAX(E28,0)</f>
        <v/>
      </c>
      <c r="G28" s="17">
        <f>MAX(-E28,0)</f>
        <v/>
      </c>
      <c r="H28" s="18">
        <f>D28*$B$6</f>
        <v/>
      </c>
      <c r="I28" s="18">
        <f>F28*$B$6</f>
        <v/>
      </c>
      <c r="J28" s="18">
        <f>G28*$B$6</f>
        <v/>
      </c>
      <c r="K28" s="17" t="n">
        <v>2715772</v>
      </c>
      <c r="L28" s="17" t="n">
        <v>2713813</v>
      </c>
      <c r="M28" s="17" t="n">
        <v>1909506</v>
      </c>
      <c r="N28" s="17">
        <f>C28-C27</f>
        <v/>
      </c>
    </row>
    <row r="29" ht="25" customHeight="1">
      <c r="A29" s="2" t="inlineStr">
        <is>
          <t>202501</t>
        </is>
      </c>
      <c r="B29" s="2" t="inlineStr">
        <is>
          <t>上半年</t>
        </is>
      </c>
      <c r="C29" s="15" t="n">
        <v>2983933</v>
      </c>
      <c r="D29" s="15">
        <f>K29+L29-M29</f>
        <v/>
      </c>
      <c r="E29" s="15">
        <f>D29-D28</f>
        <v/>
      </c>
      <c r="F29" s="15">
        <f>MAX(E29,0)</f>
        <v/>
      </c>
      <c r="G29" s="15">
        <f>MAX(-E29,0)</f>
        <v/>
      </c>
      <c r="H29" s="16">
        <f>D29*$B$6</f>
        <v/>
      </c>
      <c r="I29" s="16">
        <f>F29*$B$6</f>
        <v/>
      </c>
      <c r="J29" s="16">
        <f>G29*$B$6</f>
        <v/>
      </c>
      <c r="K29" s="15" t="n">
        <v>2473342</v>
      </c>
      <c r="L29" s="15" t="n">
        <v>2386387</v>
      </c>
      <c r="M29" s="15" t="n">
        <v>1630261</v>
      </c>
      <c r="N29" s="15">
        <f>C29-C28</f>
        <v/>
      </c>
    </row>
    <row r="30" ht="25" customHeight="1">
      <c r="A30" s="11" t="inlineStr">
        <is>
          <t>202502</t>
        </is>
      </c>
      <c r="B30" s="11" t="inlineStr">
        <is>
          <t>下半年</t>
        </is>
      </c>
      <c r="C30" s="17" t="n">
        <v>2931169</v>
      </c>
      <c r="D30" s="17">
        <f>K30+L30-M30</f>
        <v/>
      </c>
      <c r="E30" s="17">
        <f>D30-D29</f>
        <v/>
      </c>
      <c r="F30" s="17">
        <f>MAX(E30,0)</f>
        <v/>
      </c>
      <c r="G30" s="17">
        <f>MAX(-E30,0)</f>
        <v/>
      </c>
      <c r="H30" s="18">
        <f>D30*$B$6</f>
        <v/>
      </c>
      <c r="I30" s="18">
        <f>F30*$B$6</f>
        <v/>
      </c>
      <c r="J30" s="18">
        <f>G30*$B$6</f>
        <v/>
      </c>
      <c r="K30" s="17" t="n">
        <v>2815630</v>
      </c>
      <c r="L30" s="17" t="n">
        <v>2344368</v>
      </c>
      <c r="M30" s="17" t="n">
        <v>1722253</v>
      </c>
      <c r="N30" s="17">
        <f>C30-C29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2026-10-29T06:56:02Z</dcterms:created>
  <dcterms:modified xsi:type="dcterms:W3CDTF">2026-10-29T06:56:02Z</dcterms:modified>
</cp:coreProperties>
</file>